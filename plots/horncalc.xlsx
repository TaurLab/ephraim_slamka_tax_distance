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g\R\ephraim_slamka_tax_distance\plots\"/>
    </mc:Choice>
  </mc:AlternateContent>
  <xr:revisionPtr revIDLastSave="0" documentId="8_{DFE4E166-5DB4-4B43-950C-758D8B4451B9}" xr6:coauthVersionLast="47" xr6:coauthVersionMax="47" xr10:uidLastSave="{00000000-0000-0000-0000-000000000000}"/>
  <bookViews>
    <workbookView xWindow="26685" yWindow="5145" windowWidth="35055" windowHeight="25350" xr2:uid="{FCDE7A30-4120-41C1-AB59-799ABE768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L4" i="1"/>
  <c r="L3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G2" i="1"/>
  <c r="F2" i="1"/>
  <c r="E3" i="1"/>
  <c r="E4" i="1"/>
  <c r="E5" i="1"/>
  <c r="E6" i="1"/>
  <c r="E7" i="1"/>
  <c r="H7" i="1" s="1"/>
  <c r="E8" i="1"/>
  <c r="E9" i="1"/>
  <c r="E10" i="1"/>
  <c r="H10" i="1" s="1"/>
  <c r="E2" i="1"/>
  <c r="D3" i="1"/>
  <c r="D4" i="1"/>
  <c r="H4" i="1" s="1"/>
  <c r="D5" i="1"/>
  <c r="H5" i="1" s="1"/>
  <c r="D6" i="1"/>
  <c r="D7" i="1"/>
  <c r="D8" i="1"/>
  <c r="D9" i="1"/>
  <c r="D10" i="1"/>
  <c r="D2" i="1"/>
  <c r="H2" i="1" s="1"/>
  <c r="H3" i="1" l="1"/>
  <c r="H8" i="1"/>
  <c r="H9" i="1"/>
  <c r="H6" i="1"/>
</calcChain>
</file>

<file path=xl/sharedStrings.xml><?xml version="1.0" encoding="utf-8"?>
<sst xmlns="http://schemas.openxmlformats.org/spreadsheetml/2006/main" count="21" uniqueCount="21">
  <si>
    <t>otu</t>
  </si>
  <si>
    <t>sampA</t>
  </si>
  <si>
    <t>sampB</t>
  </si>
  <si>
    <t>pctA</t>
  </si>
  <si>
    <t>pctB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</si>
  <si>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</si>
  <si>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</si>
  <si>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</si>
  <si>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</si>
  <si>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</si>
  <si>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</si>
  <si>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</si>
  <si>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</si>
  <si>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</si>
  <si>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pctA*pctB</t>
  </si>
  <si>
    <t>pctA^2</t>
  </si>
  <si>
    <t>pctB^2</t>
  </si>
  <si>
    <t>numerator</t>
  </si>
  <si>
    <t>denominator</t>
  </si>
  <si>
    <t>overlap</t>
  </si>
  <si>
    <t>horn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</si>
</sst>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E9AA-DBFD-4C63-9E46-6D28F69B89F6}">
  <dimension ref="A1:L10"/>
  <sheetViews>
    <sheetView tabSelected="1" workbookViewId="0">
      <selection activeCell="B5" sqref="B5"/>
    </sheetView>
  </sheetViews>
  <sheetFormatPr defaultRowHeight="15" x14ac:dyDescent="0.25"/>
  <cols>
    <col min="8" max="8" width="11.42578125" customWidth="1"/>
    <col min="11" max="11" width="14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14</v>
      </c>
    </row>
    <row r="2" spans="1:12" x14ac:dyDescent="0.25">
      <c r="A2" t="s">
        <v>5</v>
      </c>
      <c r="B2">
        <v>0</v>
      </c>
      <c r="C2">
        <v>38</v>
      </c>
      <c r="D2">
        <f>B2/SUM($B$2:$B$10)</f>
        <v>0</v>
      </c>
      <c r="E2">
        <f>C2/SUM($C$2:$C$10)</f>
        <v>1.6094875052943668E-2</v>
      </c>
      <c r="F2">
        <f>D2*D2</f>
        <v>0</v>
      </c>
      <c r="G2">
        <f>E2*E2</f>
        <v>2.5904500296986845E-4</v>
      </c>
      <c r="H2">
        <f>D2*E2</f>
        <v>0</v>
      </c>
    </row>
    <row r="3" spans="1:12" x14ac:dyDescent="0.25">
      <c r="A3" t="s">
        <v>6</v>
      </c>
      <c r="B3">
        <v>0</v>
      </c>
      <c r="C3">
        <v>630</v>
      </c>
      <c r="D3">
        <f t="shared" ref="D3:D10" si="0">B3/SUM($B$2:$B$10)</f>
        <v>0</v>
      </c>
      <c r="E3">
        <f t="shared" ref="E3:E10" si="1">C3/SUM($C$2:$C$10)</f>
        <v>0.26683608640406609</v>
      </c>
      <c r="F3">
        <f t="shared" ref="F3:F10" si="2">D3*D3</f>
        <v>0</v>
      </c>
      <c r="G3">
        <f t="shared" ref="G3:G10" si="3">E3*E3</f>
        <v>7.1201497007438219E-2</v>
      </c>
      <c r="H3">
        <f t="shared" ref="H3:H10" si="4">D3*E3</f>
        <v>0</v>
      </c>
      <c r="K3" t="s">
        <v>17</v>
      </c>
      <c r="L3">
        <f>SUM(H2:H10)</f>
        <v>6.216874434790573E-2</v>
      </c>
    </row>
    <row r="4" spans="1:12" x14ac:dyDescent="0.25">
      <c r="A4" t="s">
        <v>7</v>
      </c>
      <c r="B4">
        <v>0</v>
      </c>
      <c r="C4">
        <v>690</v>
      </c>
      <c r="D4">
        <f t="shared" si="0"/>
        <v>0</v>
      </c>
      <c r="E4">
        <f t="shared" si="1"/>
        <v>0.29224904701397714</v>
      </c>
      <c r="F4">
        <f t="shared" si="2"/>
        <v>0</v>
      </c>
      <c r="G4">
        <f t="shared" si="3"/>
        <v>8.5409505480577824E-2</v>
      </c>
      <c r="H4">
        <f t="shared" si="4"/>
        <v>0</v>
      </c>
      <c r="K4" t="s">
        <v>18</v>
      </c>
      <c r="L4">
        <f>SUM(F2:G10)*0.5</f>
        <v>0.27135801016291872</v>
      </c>
    </row>
    <row r="5" spans="1:12" x14ac:dyDescent="0.25">
      <c r="A5" t="s">
        <v>8</v>
      </c>
      <c r="B5">
        <v>36</v>
      </c>
      <c r="C5">
        <v>238</v>
      </c>
      <c r="D5">
        <f t="shared" si="0"/>
        <v>6.0810810810810814E-2</v>
      </c>
      <c r="E5">
        <f t="shared" si="1"/>
        <v>0.10080474375264718</v>
      </c>
      <c r="F5">
        <f t="shared" si="2"/>
        <v>3.6979547114682253E-3</v>
      </c>
      <c r="G5">
        <f t="shared" si="3"/>
        <v>1.0161596363036861E-2</v>
      </c>
      <c r="H5">
        <f t="shared" si="4"/>
        <v>6.1300182011744912E-3</v>
      </c>
    </row>
    <row r="6" spans="1:12" x14ac:dyDescent="0.25">
      <c r="A6" t="s">
        <v>9</v>
      </c>
      <c r="B6">
        <v>72</v>
      </c>
      <c r="C6">
        <v>647</v>
      </c>
      <c r="D6">
        <f t="shared" si="0"/>
        <v>0.12162162162162163</v>
      </c>
      <c r="E6">
        <f t="shared" si="1"/>
        <v>0.27403642524354088</v>
      </c>
      <c r="F6">
        <f t="shared" si="2"/>
        <v>1.4791818845872901E-2</v>
      </c>
      <c r="G6">
        <f t="shared" si="3"/>
        <v>7.5095962360258769E-2</v>
      </c>
      <c r="H6">
        <f t="shared" si="4"/>
        <v>3.332875442151173E-2</v>
      </c>
      <c r="K6" t="s">
        <v>19</v>
      </c>
      <c r="L6">
        <f>L3/L4</f>
        <v>0.22910230035435725</v>
      </c>
    </row>
    <row r="7" spans="1:12" x14ac:dyDescent="0.25">
      <c r="A7" t="s">
        <v>10</v>
      </c>
      <c r="B7">
        <v>269</v>
      </c>
      <c r="C7">
        <v>118</v>
      </c>
      <c r="D7">
        <f t="shared" si="0"/>
        <v>0.45439189189189189</v>
      </c>
      <c r="E7">
        <f t="shared" si="1"/>
        <v>4.9978822532825075E-2</v>
      </c>
      <c r="F7">
        <f t="shared" si="2"/>
        <v>0.20647199141709277</v>
      </c>
      <c r="G7">
        <f t="shared" si="3"/>
        <v>2.4978827017676235E-3</v>
      </c>
      <c r="H7">
        <f t="shared" si="4"/>
        <v>2.2709971725219501E-2</v>
      </c>
      <c r="K7" t="s">
        <v>20</v>
      </c>
      <c r="L7">
        <f>1-L6</f>
        <v>0.7708976996456427</v>
      </c>
    </row>
    <row r="8" spans="1:12" x14ac:dyDescent="0.25">
      <c r="A8" t="s">
        <v>11</v>
      </c>
      <c r="B8">
        <v>8</v>
      </c>
      <c r="C8">
        <v>0</v>
      </c>
      <c r="D8">
        <f t="shared" si="0"/>
        <v>1.3513513513513514E-2</v>
      </c>
      <c r="E8">
        <f t="shared" si="1"/>
        <v>0</v>
      </c>
      <c r="F8">
        <f t="shared" si="2"/>
        <v>1.8261504747991238E-4</v>
      </c>
      <c r="G8">
        <f t="shared" si="3"/>
        <v>0</v>
      </c>
      <c r="H8">
        <f t="shared" si="4"/>
        <v>0</v>
      </c>
    </row>
    <row r="9" spans="1:12" x14ac:dyDescent="0.25">
      <c r="A9" t="s">
        <v>12</v>
      </c>
      <c r="B9">
        <v>58</v>
      </c>
      <c r="C9">
        <v>0</v>
      </c>
      <c r="D9">
        <f t="shared" si="0"/>
        <v>9.7972972972972971E-2</v>
      </c>
      <c r="E9">
        <f t="shared" si="1"/>
        <v>0</v>
      </c>
      <c r="F9">
        <f t="shared" si="2"/>
        <v>9.5987034331628928E-3</v>
      </c>
      <c r="G9">
        <f t="shared" si="3"/>
        <v>0</v>
      </c>
      <c r="H9">
        <f t="shared" si="4"/>
        <v>0</v>
      </c>
    </row>
    <row r="10" spans="1:12" x14ac:dyDescent="0.25">
      <c r="A10" t="s">
        <v>13</v>
      </c>
      <c r="B10">
        <v>149</v>
      </c>
      <c r="C10">
        <v>0</v>
      </c>
      <c r="D10">
        <f t="shared" si="0"/>
        <v>0.2516891891891892</v>
      </c>
      <c r="E10">
        <f t="shared" si="1"/>
        <v>0</v>
      </c>
      <c r="F10">
        <f t="shared" si="2"/>
        <v>6.3347447954711478E-2</v>
      </c>
      <c r="G10">
        <f t="shared" si="3"/>
        <v>0</v>
      </c>
      <c r="H10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Taur, Ying</dc:creator>
  <cp:lastModifiedBy>Taur, Ying</cp:lastModifiedBy>
  <dcterms:created xsi:type="dcterms:W3CDTF">2025-11-17T17:46:22Z</dcterms:created>
  <dcterms:modified xsi:type="dcterms:W3CDTF">2025-11-17T18:13:35Z</dcterms:modified>
</cp:coreProperties>
</file>